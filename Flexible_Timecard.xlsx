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im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dd, mmmm d, yyyy"/>
    <numFmt numFmtId="165" formatCode="hh:mm:ss AM/PM"/>
    <numFmt numFmtId="166" formatCode="hh:mm AM/PM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2"/>
    </font>
    <font>
      <b val="1"/>
      <color rgb="00FFFFFF"/>
      <sz val="14"/>
    </font>
    <font>
      <i val="1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>
      <c r="A1" s="1" t="inlineStr">
        <is>
          <t>FLEXIBLE DAILY TIMECARD</t>
        </is>
      </c>
    </row>
    <row r="2">
      <c r="A2" s="2" t="inlineStr">
        <is>
          <t>Date:</t>
        </is>
      </c>
      <c r="B2" s="3">
        <f>TODAY()</f>
        <v/>
      </c>
    </row>
    <row r="3">
      <c r="A3" s="2" t="inlineStr">
        <is>
          <t>Daily Goal (hours):</t>
        </is>
      </c>
      <c r="B3" s="4" t="n">
        <v>8</v>
      </c>
    </row>
    <row r="4">
      <c r="A4" s="2" t="inlineStr">
        <is>
          <t>Current Time:</t>
        </is>
      </c>
      <c r="B4" s="5">
        <f>NOW()</f>
        <v/>
      </c>
    </row>
    <row r="5">
      <c r="A5" t="inlineStr"/>
    </row>
    <row r="6">
      <c r="A6" s="6" t="inlineStr">
        <is>
          <t>TIME TRACKING</t>
        </is>
      </c>
    </row>
    <row r="7">
      <c r="A7" s="7" t="inlineStr">
        <is>
          <t>Interval</t>
        </is>
      </c>
      <c r="B7" s="7" t="inlineStr">
        <is>
          <t>Clock In</t>
        </is>
      </c>
      <c r="C7" s="7" t="inlineStr">
        <is>
          <t>Clock Out</t>
        </is>
      </c>
      <c r="D7" s="7" t="inlineStr">
        <is>
          <t>Duration (H:MM)</t>
        </is>
      </c>
      <c r="E7" s="7" t="inlineStr">
        <is>
          <t>Duration (Min)</t>
        </is>
      </c>
      <c r="F7" s="7" t="inlineStr">
        <is>
          <t>Notes</t>
        </is>
      </c>
    </row>
    <row r="8">
      <c r="A8" s="8" t="n">
        <v>1</v>
      </c>
      <c r="B8" s="9" t="inlineStr">
        <is>
          <t>09:00</t>
        </is>
      </c>
      <c r="C8" s="9" t="inlineStr">
        <is>
          <t>12:00</t>
        </is>
      </c>
      <c r="D8" s="8">
        <f>IF(AND(B8&lt;&gt;"",C8&lt;&gt;""),TEXT((C8-B8)*24,"h:mm"),"")</f>
        <v/>
      </c>
      <c r="E8" s="8">
        <f>IF(AND(B8&lt;&gt;"",C8&lt;&gt;""),ROUND((C8-B8)*1440,0),"")</f>
        <v/>
      </c>
      <c r="F8" s="10" t="n"/>
    </row>
    <row r="9">
      <c r="A9" s="8" t="n">
        <v>2</v>
      </c>
      <c r="B9" s="9" t="inlineStr">
        <is>
          <t>13:00</t>
        </is>
      </c>
      <c r="C9" s="9" t="inlineStr">
        <is>
          <t>17:00</t>
        </is>
      </c>
      <c r="D9" s="8">
        <f>IF(AND(B9&lt;&gt;"",C9&lt;&gt;""),TEXT((C9-B9)*24,"h:mm"),"")</f>
        <v/>
      </c>
      <c r="E9" s="8">
        <f>IF(AND(B9&lt;&gt;"",C9&lt;&gt;""),ROUND((C9-B9)*1440,0),"")</f>
        <v/>
      </c>
      <c r="F9" s="10" t="n"/>
    </row>
    <row r="10">
      <c r="A10" s="8" t="n">
        <v>3</v>
      </c>
      <c r="B10" s="9" t="n"/>
      <c r="C10" s="9" t="n"/>
      <c r="D10" s="8">
        <f>IF(AND(B10&lt;&gt;"",C10&lt;&gt;""),TEXT((C10-B10)*24,"h:mm"),"")</f>
        <v/>
      </c>
      <c r="E10" s="8">
        <f>IF(AND(B10&lt;&gt;"",C10&lt;&gt;""),ROUND((C10-B10)*1440,0),"")</f>
        <v/>
      </c>
      <c r="F10" s="10" t="n"/>
    </row>
    <row r="11">
      <c r="A11" s="8" t="n">
        <v>4</v>
      </c>
      <c r="B11" s="9" t="n"/>
      <c r="C11" s="9" t="n"/>
      <c r="D11" s="8">
        <f>IF(AND(B11&lt;&gt;"",C11&lt;&gt;""),TEXT((C11-B11)*24,"h:mm"),"")</f>
        <v/>
      </c>
      <c r="E11" s="8">
        <f>IF(AND(B11&lt;&gt;"",C11&lt;&gt;""),ROUND((C11-B11)*1440,0),"")</f>
        <v/>
      </c>
      <c r="F11" s="10" t="n"/>
    </row>
    <row r="12">
      <c r="A12" s="8" t="n">
        <v>5</v>
      </c>
      <c r="B12" s="9" t="n"/>
      <c r="C12" s="9" t="n"/>
      <c r="D12" s="8">
        <f>IF(AND(B12&lt;&gt;"",C12&lt;&gt;""),TEXT((C12-B12)*24,"h:mm"),"")</f>
        <v/>
      </c>
      <c r="E12" s="8">
        <f>IF(AND(B12&lt;&gt;"",C12&lt;&gt;""),ROUND((C12-B12)*1440,0),"")</f>
        <v/>
      </c>
      <c r="F12" s="10" t="n"/>
    </row>
    <row r="13">
      <c r="A13" s="8" t="n">
        <v>6</v>
      </c>
      <c r="B13" s="9" t="n"/>
      <c r="C13" s="9" t="n"/>
      <c r="D13" s="8">
        <f>IF(AND(B13&lt;&gt;"",C13&lt;&gt;""),TEXT((C13-B13)*24,"h:mm"),"")</f>
        <v/>
      </c>
      <c r="E13" s="8">
        <f>IF(AND(B13&lt;&gt;"",C13&lt;&gt;""),ROUND((C13-B13)*1440,0),"")</f>
        <v/>
      </c>
      <c r="F13" s="10" t="n"/>
    </row>
    <row r="14">
      <c r="A14" s="8" t="n">
        <v>7</v>
      </c>
      <c r="B14" s="9" t="n"/>
      <c r="C14" s="9" t="n"/>
      <c r="D14" s="8">
        <f>IF(AND(B14&lt;&gt;"",C14&lt;&gt;""),TEXT((C14-B14)*24,"h:mm"),"")</f>
        <v/>
      </c>
      <c r="E14" s="8">
        <f>IF(AND(B14&lt;&gt;"",C14&lt;&gt;""),ROUND((C14-B14)*1440,0),"")</f>
        <v/>
      </c>
      <c r="F14" s="10" t="n"/>
    </row>
    <row r="15">
      <c r="A15" s="8" t="n">
        <v>8</v>
      </c>
      <c r="B15" s="9" t="n"/>
      <c r="C15" s="9" t="n"/>
      <c r="D15" s="8">
        <f>IF(AND(B15&lt;&gt;"",C15&lt;&gt;""),TEXT((C15-B15)*24,"h:mm"),"")</f>
        <v/>
      </c>
      <c r="E15" s="8">
        <f>IF(AND(B15&lt;&gt;"",C15&lt;&gt;""),ROUND((C15-B15)*1440,0),"")</f>
        <v/>
      </c>
      <c r="F15" s="10" t="n"/>
    </row>
    <row r="16">
      <c r="A16" s="8" t="n">
        <v>9</v>
      </c>
      <c r="B16" s="9" t="n"/>
      <c r="C16" s="9" t="n"/>
      <c r="D16" s="8">
        <f>IF(AND(B16&lt;&gt;"",C16&lt;&gt;""),TEXT((C16-B16)*24,"h:mm"),"")</f>
        <v/>
      </c>
      <c r="E16" s="8">
        <f>IF(AND(B16&lt;&gt;"",C16&lt;&gt;""),ROUND((C16-B16)*1440,0),"")</f>
        <v/>
      </c>
      <c r="F16" s="10" t="n"/>
    </row>
    <row r="17">
      <c r="A17" s="8" t="n">
        <v>10</v>
      </c>
      <c r="B17" s="9" t="n"/>
      <c r="C17" s="9" t="n"/>
      <c r="D17" s="8">
        <f>IF(AND(B17&lt;&gt;"",C17&lt;&gt;""),TEXT((C17-B17)*24,"h:mm"),"")</f>
        <v/>
      </c>
      <c r="E17" s="8">
        <f>IF(AND(B17&lt;&gt;"",C17&lt;&gt;""),ROUND((C17-B17)*1440,0),"")</f>
        <v/>
      </c>
      <c r="F17" s="10" t="n"/>
    </row>
    <row r="19">
      <c r="A19" t="inlineStr"/>
    </row>
    <row r="20">
      <c r="A20" s="6" t="inlineStr">
        <is>
          <t>SUMMARY &amp; PROJECTIONS</t>
        </is>
      </c>
    </row>
    <row r="21">
      <c r="A21" s="2" t="inlineStr">
        <is>
          <t>Total Hours Worked (H:MM):</t>
        </is>
      </c>
      <c r="B21" s="8">
        <f>TEXT(SUM(E8:E17)/60,"h:mm")</f>
        <v/>
      </c>
      <c r="C21" s="11" t="inlineStr">
        <is>
          <t>Total time worked in hours:minutes format</t>
        </is>
      </c>
      <c r="D21" s="12" t="n"/>
      <c r="E21" s="12" t="n"/>
      <c r="F21" s="13" t="n"/>
    </row>
    <row r="22">
      <c r="A22" s="2" t="inlineStr">
        <is>
          <t>Total Minutes Worked:</t>
        </is>
      </c>
      <c r="B22" s="8">
        <f>SUM(E8:E17)</f>
        <v/>
      </c>
      <c r="C22" s="11" t="inlineStr">
        <is>
          <t>Total time worked in minutes</t>
        </is>
      </c>
      <c r="D22" s="12" t="n"/>
      <c r="E22" s="12" t="n"/>
      <c r="F22" s="13" t="n"/>
    </row>
    <row r="23">
      <c r="A23" s="2" t="inlineStr">
        <is>
          <t>Goal Minutes:</t>
        </is>
      </c>
      <c r="B23" s="8">
        <f>$B$3*60</f>
        <v/>
      </c>
      <c r="C23" s="11" t="inlineStr">
        <is>
          <t>Daily goal converted to minutes</t>
        </is>
      </c>
      <c r="D23" s="12" t="n"/>
      <c r="E23" s="12" t="n"/>
      <c r="F23" s="13" t="n"/>
    </row>
    <row r="24">
      <c r="A24" s="2" t="inlineStr">
        <is>
          <t>Minutes Remaining:</t>
        </is>
      </c>
      <c r="B24" s="8">
        <f>MAX(0,$B$3*60-SUM(E8:E17))</f>
        <v/>
      </c>
      <c r="C24" s="11" t="inlineStr">
        <is>
          <t>Minutes still needed to reach goal</t>
        </is>
      </c>
      <c r="D24" s="12" t="n"/>
      <c r="E24" s="12" t="n"/>
      <c r="F24" s="13" t="n"/>
    </row>
    <row r="25">
      <c r="A25" s="2" t="inlineStr">
        <is>
          <t>Hours:Minutes Remaining:</t>
        </is>
      </c>
      <c r="B25" s="8">
        <f>TEXT(MAX(0,$B$3*60-SUM(E8:E17))/60,"h:mm")</f>
        <v/>
      </c>
      <c r="C25" s="11" t="inlineStr">
        <is>
          <t>Time remaining in hours:minutes format</t>
        </is>
      </c>
      <c r="D25" s="12" t="n"/>
      <c r="E25" s="12" t="n"/>
      <c r="F25" s="13" t="n"/>
    </row>
    <row r="26">
      <c r="A26" s="2" t="inlineStr">
        <is>
          <t>Current Work Rate (min/hr):</t>
        </is>
      </c>
      <c r="B26" s="8">
        <f>IF(SUM(E8:E17)&gt;0,SUM(E8:E17)/((NOW()-TODAY())*24),0)</f>
        <v/>
      </c>
      <c r="C26" s="11" t="inlineStr">
        <is>
          <t>Average work rate based on time elapsed</t>
        </is>
      </c>
      <c r="D26" s="12" t="n"/>
      <c r="E26" s="12" t="n"/>
      <c r="F26" s="13" t="n"/>
    </row>
    <row r="27">
      <c r="A27" s="2" t="inlineStr">
        <is>
          <t>Projected End Time:</t>
        </is>
      </c>
      <c r="B27" s="8">
        <f>IF(SUM(E8:E17)&gt;0,IF(SUM(E8:E17)&gt;=$B$3*60,"Goal Met!",TODAY()+TIME(0,0,0)+TIME(0,MAX(0,$B$3*60-SUM(E8:E17)),0)/TIME(0,1,0)),"No work logged")</f>
        <v/>
      </c>
      <c r="C27" s="11" t="inlineStr">
        <is>
          <t>When you'll finish if you maintain current pace</t>
        </is>
      </c>
      <c r="D27" s="12" t="n"/>
      <c r="E27" s="12" t="n"/>
      <c r="F27" s="13" t="n"/>
    </row>
    <row r="28">
      <c r="A28" s="2" t="inlineStr">
        <is>
          <t>Status:</t>
        </is>
      </c>
      <c r="B28" s="8">
        <f>IF(SUM(E8:E17)&gt;=$B$3*60,"Goal Met!",IF(SUM(E8:E17)&gt;0,"Working","Not Started"))</f>
        <v/>
      </c>
      <c r="C28" s="11" t="inlineStr">
        <is>
          <t>Current work status</t>
        </is>
      </c>
      <c r="D28" s="12" t="n"/>
      <c r="E28" s="12" t="n"/>
      <c r="F28" s="13" t="n"/>
    </row>
    <row r="30">
      <c r="A30" t="inlineStr"/>
    </row>
    <row r="31">
      <c r="A31" s="6" t="inlineStr">
        <is>
          <t>INSTRUCTIONS</t>
        </is>
      </c>
    </row>
    <row r="32">
      <c r="A32" s="14" t="inlineStr">
        <is>
          <t>1. Enter your daily goal in cell B3 (default: 8.00 hours)</t>
        </is>
      </c>
      <c r="B32" s="12" t="n"/>
      <c r="C32" s="12" t="n"/>
      <c r="D32" s="12" t="n"/>
      <c r="E32" s="12" t="n"/>
      <c r="F32" s="13" t="n"/>
    </row>
    <row r="33">
      <c r="A33" s="14" t="inlineStr">
        <is>
          <t>2. For each work interval, enter clock-in time in column B and clock-out time in column C</t>
        </is>
      </c>
      <c r="B33" s="12" t="n"/>
      <c r="C33" s="12" t="n"/>
      <c r="D33" s="12" t="n"/>
      <c r="E33" s="12" t="n"/>
      <c r="F33" s="13" t="n"/>
    </row>
    <row r="34">
      <c r="A34" s="14" t="inlineStr">
        <is>
          <t>3. The spreadsheet automatically calculates duration and running totals</t>
        </is>
      </c>
      <c r="B34" s="12" t="n"/>
      <c r="C34" s="12" t="n"/>
      <c r="D34" s="12" t="n"/>
      <c r="E34" s="12" t="n"/>
      <c r="F34" s="13" t="n"/>
    </row>
    <row r="35">
      <c r="A35" s="14" t="inlineStr">
        <is>
          <t>4. View real-time summary including hours worked, remaining time, and projected end time</t>
        </is>
      </c>
      <c r="B35" s="12" t="n"/>
      <c r="C35" s="12" t="n"/>
      <c r="D35" s="12" t="n"/>
      <c r="E35" s="12" t="n"/>
      <c r="F35" s="13" t="n"/>
    </row>
    <row r="36">
      <c r="A36" s="14" t="inlineStr">
        <is>
          <t>5. All formulas use absolute references ($) to prevent accidental breakage</t>
        </is>
      </c>
      <c r="B36" s="12" t="n"/>
      <c r="C36" s="12" t="n"/>
      <c r="D36" s="12" t="n"/>
      <c r="E36" s="12" t="n"/>
      <c r="F36" s="13" t="n"/>
    </row>
    <row r="37">
      <c r="A37" s="14" t="inlineStr">
        <is>
          <t>6. Times are automatically formatted for easy reading</t>
        </is>
      </c>
      <c r="B37" s="12" t="n"/>
      <c r="C37" s="12" t="n"/>
      <c r="D37" s="12" t="n"/>
      <c r="E37" s="12" t="n"/>
      <c r="F37" s="13" t="n"/>
    </row>
    <row r="38">
      <c r="A38" s="14" t="inlineStr">
        <is>
          <t>7. The 'Projected End Time' shows when you'll finish if you maintain your current work pace</t>
        </is>
      </c>
      <c r="B38" s="12" t="n"/>
      <c r="C38" s="12" t="n"/>
      <c r="D38" s="12" t="n"/>
      <c r="E38" s="12" t="n"/>
      <c r="F38" s="13" t="n"/>
    </row>
  </sheetData>
  <mergeCells count="19">
    <mergeCell ref="C23:F23"/>
    <mergeCell ref="A37:F37"/>
    <mergeCell ref="C28:F28"/>
    <mergeCell ref="A33:F33"/>
    <mergeCell ref="A32:F32"/>
    <mergeCell ref="A35:F35"/>
    <mergeCell ref="A20:F20"/>
    <mergeCell ref="C24:F24"/>
    <mergeCell ref="A38:F38"/>
    <mergeCell ref="C26:F26"/>
    <mergeCell ref="A31:F31"/>
    <mergeCell ref="A34:F34"/>
    <mergeCell ref="C25:F25"/>
    <mergeCell ref="C22:F22"/>
    <mergeCell ref="A36:F36"/>
    <mergeCell ref="A1:F1"/>
    <mergeCell ref="C21:F21"/>
    <mergeCell ref="A6:F6"/>
    <mergeCell ref="C27:F27"/>
  </mergeCells>
  <dataValidations count="1">
    <dataValidation sqref="B8:B17 C8:C17" showDropDown="0" showInputMessage="0" showErrorMessage="1" allowBlank="1" errorTitle="Invalid Time" error="Please enter a valid time in HH:MM format" type="time" operator="between">
      <formula1>00:00</formula1>
      <formula2>23:59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2025-08-29T00:11:03Z</dcterms:created>
  <dcterms:modified xsi:type="dcterms:W3CDTF">2025-08-29T00:11:03Z</dcterms:modified>
</cp:coreProperties>
</file>